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rish.sa\Downloads\"/>
    </mc:Choice>
  </mc:AlternateContent>
  <xr:revisionPtr revIDLastSave="0" documentId="13_ncr:1_{4711E03C-1115-4B86-9247-CC0FAC6514C1}" xr6:coauthVersionLast="47" xr6:coauthVersionMax="47" xr10:uidLastSave="{00000000-0000-0000-0000-000000000000}"/>
  <bookViews>
    <workbookView xWindow="-110" yWindow="-110" windowWidth="19380" windowHeight="923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Sheet1!$A$1:$AM$4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2" i="1" l="1"/>
  <c r="AK2" i="1" s="1"/>
  <c r="AK4" i="1" l="1"/>
  <c r="AH3" i="1"/>
  <c r="AK3" i="1" s="1"/>
  <c r="AL3" i="1"/>
  <c r="AL4" i="1"/>
  <c r="AL2" i="1"/>
  <c r="J3" i="1" l="1"/>
  <c r="K3" i="1"/>
  <c r="L3" i="1"/>
  <c r="M3" i="1"/>
  <c r="N3" i="1"/>
  <c r="O3" i="1"/>
  <c r="P3" i="1"/>
  <c r="Q3" i="1"/>
  <c r="R3" i="1"/>
  <c r="J4" i="1"/>
  <c r="K4" i="1"/>
  <c r="L4" i="1"/>
  <c r="M4" i="1"/>
  <c r="N4" i="1"/>
  <c r="O4" i="1"/>
  <c r="P4" i="1"/>
  <c r="Q4" i="1"/>
  <c r="R4" i="1"/>
  <c r="R2" i="1"/>
  <c r="Q2" i="1"/>
  <c r="P2" i="1"/>
  <c r="O2" i="1"/>
  <c r="J2" i="1"/>
  <c r="K2" i="1"/>
  <c r="L2" i="1"/>
  <c r="M2" i="1"/>
  <c r="N2" i="1"/>
  <c r="S2" i="1" l="1"/>
  <c r="S4" i="1" l="1"/>
  <c r="T4" i="1" s="1"/>
  <c r="S3" i="1"/>
  <c r="T3" i="1" s="1"/>
  <c r="T2" i="1" l="1"/>
</calcChain>
</file>

<file path=xl/sharedStrings.xml><?xml version="1.0" encoding="utf-8"?>
<sst xmlns="http://schemas.openxmlformats.org/spreadsheetml/2006/main" count="66" uniqueCount="58">
  <si>
    <t>ECN</t>
  </si>
  <si>
    <t>First Name</t>
  </si>
  <si>
    <t>Basic_m</t>
  </si>
  <si>
    <t>PF_m</t>
  </si>
  <si>
    <t>Statutory Bonus_m</t>
  </si>
  <si>
    <t>HRA_m</t>
  </si>
  <si>
    <t>Telephone_m</t>
  </si>
  <si>
    <t>LTA_m</t>
  </si>
  <si>
    <t>Child Education_m</t>
  </si>
  <si>
    <t>CarBike_m</t>
  </si>
  <si>
    <t>Meal_m</t>
  </si>
  <si>
    <t>Special_m</t>
  </si>
  <si>
    <t>Monthly</t>
  </si>
  <si>
    <t>Statutory Bonus_y</t>
  </si>
  <si>
    <t>HRA_y</t>
  </si>
  <si>
    <t>Telephone_y</t>
  </si>
  <si>
    <t>Mobile Handset_y</t>
  </si>
  <si>
    <t>LTA_y</t>
  </si>
  <si>
    <t>Child Education_y</t>
  </si>
  <si>
    <t>Professional Development_y</t>
  </si>
  <si>
    <t>CarBike_y</t>
  </si>
  <si>
    <t>Meal_y</t>
  </si>
  <si>
    <t>Gift_y</t>
  </si>
  <si>
    <t>Special_y</t>
  </si>
  <si>
    <t>Subtotal</t>
  </si>
  <si>
    <t>Bonus</t>
  </si>
  <si>
    <t>Total</t>
  </si>
  <si>
    <t>Amount_Desc</t>
  </si>
  <si>
    <t>0004</t>
  </si>
  <si>
    <t>Abhishek Sharma</t>
  </si>
  <si>
    <t>0002</t>
  </si>
  <si>
    <t>0003</t>
  </si>
  <si>
    <t>Gratuity</t>
  </si>
  <si>
    <t>Designation</t>
  </si>
  <si>
    <t>Lead - DevOPs</t>
  </si>
  <si>
    <t>Tech Lead</t>
  </si>
  <si>
    <t>Sr. Associate - DevOps</t>
  </si>
  <si>
    <t>Structure Effective Date</t>
  </si>
  <si>
    <t>Active Status</t>
  </si>
  <si>
    <t>Active</t>
  </si>
  <si>
    <t>Actual New CTC</t>
  </si>
  <si>
    <t>1st April 2023</t>
  </si>
  <si>
    <t>Basic Y</t>
  </si>
  <si>
    <t>Yearly PF</t>
  </si>
  <si>
    <t>Letter Type</t>
  </si>
  <si>
    <t>Increment Letter</t>
  </si>
  <si>
    <t>Promotion &amp; Increment Letter</t>
  </si>
  <si>
    <t>Structure Change Letter</t>
  </si>
  <si>
    <t>Email ID</t>
  </si>
  <si>
    <t>abhishek.sharma@admiralindia.com</t>
  </si>
  <si>
    <t>narender.sharma@admiralindia.com</t>
  </si>
  <si>
    <t>Narender Sharma</t>
  </si>
  <si>
    <t>Vimal</t>
  </si>
  <si>
    <t>vima.tyagi@admiralindia.com</t>
  </si>
  <si>
    <t>Letter Issue Date</t>
  </si>
  <si>
    <t>2nd April 2023</t>
  </si>
  <si>
    <t>testpanno</t>
  </si>
  <si>
    <t>PanNo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</si>
</sst>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8"/>
      <name val="Calibri"/>
      <family val="2"/>
    </font>
    <font>
      <sz val="8"/>
      <name val="Calibri"/>
      <family val="2"/>
      <scheme val="minor"/>
    </font>
    <font>
      <sz val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4" fillId="0" borderId="1" xfId="0" quotePrefix="1" applyFont="1" applyBorder="1"/>
    <xf numFmtId="164" fontId="5" fillId="0" borderId="1" xfId="1" quotePrefix="1" applyNumberFormat="1" applyFont="1" applyFill="1" applyBorder="1" applyAlignment="1"/>
    <xf numFmtId="0" fontId="5" fillId="0" borderId="1" xfId="0" applyFont="1" applyBorder="1" applyAlignment="1">
      <alignment vertical="center"/>
    </xf>
    <xf numFmtId="0" fontId="5" fillId="0" borderId="1" xfId="0" applyFont="1" applyBorder="1"/>
    <xf numFmtId="0" fontId="3" fillId="2" borderId="1" xfId="0" applyFont="1" applyFill="1" applyBorder="1" applyAlignment="1">
      <alignment horizontal="center" vertical="center"/>
    </xf>
    <xf numFmtId="164" fontId="5" fillId="2" borderId="1" xfId="1" applyNumberFormat="1" applyFont="1" applyFill="1" applyBorder="1" applyAlignment="1" applyProtection="1">
      <alignment vertical="center"/>
    </xf>
    <xf numFmtId="0" fontId="3" fillId="3" borderId="1" xfId="0" applyFont="1" applyFill="1" applyBorder="1" applyAlignment="1">
      <alignment horizontal="center" vertical="center"/>
    </xf>
    <xf numFmtId="164" fontId="5" fillId="3" borderId="1" xfId="1" applyNumberFormat="1" applyFont="1" applyFill="1" applyBorder="1" applyAlignment="1" applyProtection="1">
      <alignment vertical="center"/>
    </xf>
    <xf numFmtId="164" fontId="5" fillId="3" borderId="1" xfId="1" quotePrefix="1" applyNumberFormat="1" applyFont="1" applyFill="1" applyBorder="1" applyAlignment="1"/>
    <xf numFmtId="164" fontId="5" fillId="3" borderId="1" xfId="1" quotePrefix="1" applyNumberFormat="1" applyFont="1" applyFill="1" applyBorder="1" applyAlignment="1">
      <alignment horizontal="right"/>
    </xf>
  </cellXfs>
  <cellStyles count="3">
    <cellStyle name="Comma 2" xfId="1" xr:uid="{00000000-0005-0000-0000-000001000000}"/>
    <cellStyle name="Hyperlink 2" xfId="2" xr:uid="{00000000-0005-0000-0000-000003000000}"/>
    <cellStyle name="Normal" xfId="0" builtinId="0"/>
  </cellStyles>
  <dxfs count="0"/>
  <tableStyles count="0" defaultTableStyle="TableStyleMedium2" defaultPivotStyle="PivotStyleLight16"/>
  <colors>
    <mruColors>
      <color rgb="FFD4F9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vima.tyagi@admiralindia.com" TargetMode="External"/><Relationship Id="rId2" Type="http://schemas.openxmlformats.org/officeDocument/2006/relationships/hyperlink" Target="mailto:narender.sharma@admiralindia.com" TargetMode="External"/><Relationship Id="rId1" Type="http://schemas.openxmlformats.org/officeDocument/2006/relationships/hyperlink" Target="mailto:abhishek.sharma@admiralindia.com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4"/>
  <sheetViews>
    <sheetView tabSelected="1" zoomScaleNormal="100" workbookViewId="0">
      <pane xSplit="3" ySplit="1" topLeftCell="AI2" activePane="bottomRight" state="frozen"/>
      <selection pane="topRight" activeCell="D1" sqref="D1"/>
      <selection pane="bottomLeft" activeCell="A2" sqref="A2"/>
      <selection pane="bottomRight" activeCell="D8" sqref="D8"/>
    </sheetView>
  </sheetViews>
  <sheetFormatPr defaultColWidth="9.1796875" defaultRowHeight="14.5" x14ac:dyDescent="0.35"/>
  <cols>
    <col min="2" max="2" width="5" bestFit="1" customWidth="1"/>
    <col min="3" max="5" width="24.7265625" customWidth="1"/>
    <col min="6" max="8" width="16.1796875" customWidth="1"/>
    <col min="9" max="9" width="19" bestFit="1" customWidth="1"/>
    <col min="10" max="10" width="8.453125" customWidth="1"/>
    <col min="11" max="11" width="7.453125" customWidth="1"/>
    <col min="12" max="12" width="12.81640625" customWidth="1"/>
    <col min="13" max="13" width="6.08984375" customWidth="1"/>
    <col min="14" max="14" width="9.08984375" customWidth="1"/>
    <col min="15" max="15" width="6.81640625" customWidth="1"/>
    <col min="16" max="16" width="12.26953125" customWidth="1"/>
    <col min="17" max="17" width="7.1796875" customWidth="1"/>
    <col min="18" max="18" width="8.26953125" customWidth="1"/>
    <col min="19" max="19" width="10" customWidth="1"/>
    <col min="20" max="20" width="8.54296875" customWidth="1"/>
    <col min="21" max="22" width="10" customWidth="1"/>
    <col min="23" max="23" width="12.26953125" bestFit="1" customWidth="1"/>
    <col min="24" max="25" width="10" customWidth="1"/>
    <col min="26" max="28" width="11.90625" customWidth="1"/>
    <col min="29" max="29" width="18.54296875" customWidth="1"/>
    <col min="30" max="37" width="10" customWidth="1"/>
    <col min="38" max="38" width="79.81640625" customWidth="1"/>
    <col min="39" max="39" width="10.36328125" bestFit="1" customWidth="1"/>
  </cols>
  <sheetData>
    <row r="1" spans="1:39" x14ac:dyDescent="0.35">
      <c r="A1" s="1" t="s">
        <v>38</v>
      </c>
      <c r="B1" s="1" t="s">
        <v>0</v>
      </c>
      <c r="C1" s="1" t="s">
        <v>1</v>
      </c>
      <c r="D1" s="1" t="s">
        <v>33</v>
      </c>
      <c r="E1" s="1" t="s">
        <v>48</v>
      </c>
      <c r="F1" s="1" t="s">
        <v>37</v>
      </c>
      <c r="G1" s="1" t="s">
        <v>54</v>
      </c>
      <c r="H1" s="1" t="s">
        <v>57</v>
      </c>
      <c r="I1" s="1" t="s">
        <v>44</v>
      </c>
      <c r="J1" s="8" t="s">
        <v>2</v>
      </c>
      <c r="K1" s="8" t="s">
        <v>3</v>
      </c>
      <c r="L1" s="8" t="s">
        <v>4</v>
      </c>
      <c r="M1" s="8" t="s">
        <v>5</v>
      </c>
      <c r="N1" s="8" t="s">
        <v>6</v>
      </c>
      <c r="O1" s="8" t="s">
        <v>7</v>
      </c>
      <c r="P1" s="8" t="s">
        <v>8</v>
      </c>
      <c r="Q1" s="8" t="s">
        <v>9</v>
      </c>
      <c r="R1" s="8" t="s">
        <v>10</v>
      </c>
      <c r="S1" s="8" t="s">
        <v>11</v>
      </c>
      <c r="T1" s="8" t="s">
        <v>12</v>
      </c>
      <c r="U1" s="6" t="s">
        <v>42</v>
      </c>
      <c r="V1" s="6" t="s">
        <v>43</v>
      </c>
      <c r="W1" s="6" t="s">
        <v>13</v>
      </c>
      <c r="X1" s="6" t="s">
        <v>14</v>
      </c>
      <c r="Y1" s="6" t="s">
        <v>15</v>
      </c>
      <c r="Z1" s="6" t="s">
        <v>16</v>
      </c>
      <c r="AA1" s="6" t="s">
        <v>17</v>
      </c>
      <c r="AB1" s="6" t="s">
        <v>18</v>
      </c>
      <c r="AC1" s="6" t="s">
        <v>19</v>
      </c>
      <c r="AD1" s="6" t="s">
        <v>20</v>
      </c>
      <c r="AE1" s="6" t="s">
        <v>21</v>
      </c>
      <c r="AF1" s="6" t="s">
        <v>22</v>
      </c>
      <c r="AG1" s="6" t="s">
        <v>23</v>
      </c>
      <c r="AH1" s="6" t="s">
        <v>24</v>
      </c>
      <c r="AI1" s="6" t="s">
        <v>25</v>
      </c>
      <c r="AJ1" s="6" t="s">
        <v>32</v>
      </c>
      <c r="AK1" s="6" t="s">
        <v>26</v>
      </c>
      <c r="AL1" s="1" t="s">
        <v>27</v>
      </c>
      <c r="AM1" s="6" t="s">
        <v>40</v>
      </c>
    </row>
    <row r="2" spans="1:39" x14ac:dyDescent="0.35">
      <c r="A2" s="5" t="s">
        <v>39</v>
      </c>
      <c r="B2" s="2" t="s">
        <v>30</v>
      </c>
      <c r="C2" s="3" t="s">
        <v>29</v>
      </c>
      <c r="D2" s="3" t="s">
        <v>34</v>
      </c>
      <c r="E2" s="3" t="s">
        <v>49</v>
      </c>
      <c r="F2" s="3" t="s">
        <v>41</v>
      </c>
      <c r="G2" s="3" t="s">
        <v>55</v>
      </c>
      <c r="H2" s="3" t="s">
        <v>56</v>
      </c>
      <c r="I2" s="3" t="s">
        <v>45</v>
      </c>
      <c r="J2" s="9">
        <f>U2/12</f>
        <v>250</v>
      </c>
      <c r="K2" s="10">
        <f>V2/12</f>
        <v>41.666666666666664</v>
      </c>
      <c r="L2" s="10">
        <f>W2/12</f>
        <v>0</v>
      </c>
      <c r="M2" s="10">
        <f>X2/12</f>
        <v>83.333333333333329</v>
      </c>
      <c r="N2" s="11">
        <f>Y2/12</f>
        <v>16.666666666666668</v>
      </c>
      <c r="O2" s="10">
        <f>AA2/12</f>
        <v>33.333333333333336</v>
      </c>
      <c r="P2" s="9">
        <f>AB2/12</f>
        <v>8.3333333333333339</v>
      </c>
      <c r="Q2" s="10">
        <f>AD2/12</f>
        <v>0</v>
      </c>
      <c r="R2" s="10">
        <f>AE2/12</f>
        <v>0</v>
      </c>
      <c r="S2" s="10">
        <f>AG2/12</f>
        <v>8.3333333333333339</v>
      </c>
      <c r="T2" s="10">
        <f>SUM(J2:S2)</f>
        <v>441.66666666666663</v>
      </c>
      <c r="U2" s="7">
        <v>3000</v>
      </c>
      <c r="V2" s="7">
        <v>500</v>
      </c>
      <c r="W2" s="7">
        <v>0</v>
      </c>
      <c r="X2" s="7">
        <v>1000</v>
      </c>
      <c r="Y2" s="7">
        <v>200</v>
      </c>
      <c r="Z2" s="7">
        <v>300</v>
      </c>
      <c r="AA2" s="7">
        <v>400</v>
      </c>
      <c r="AB2" s="7">
        <v>100</v>
      </c>
      <c r="AC2" s="7">
        <v>0</v>
      </c>
      <c r="AD2" s="7">
        <v>0</v>
      </c>
      <c r="AE2" s="7">
        <v>0</v>
      </c>
      <c r="AF2" s="7">
        <v>0</v>
      </c>
      <c r="AG2" s="7">
        <v>100</v>
      </c>
      <c r="AH2" s="7">
        <f>SUM(U2:AG2)</f>
        <v>5600</v>
      </c>
      <c r="AI2" s="7">
        <v>100</v>
      </c>
      <c r="AJ2" s="7">
        <v>0</v>
      </c>
      <c r="AK2" s="7">
        <f>AH2+AI2+AJ2</f>
        <v>5700</v>
      </c>
      <c r="AL2" s="4" t="str">
        <f>spellindian(AK2)</f>
        <v>Rupees Five Thousand Seven Hundred  Only</v>
      </c>
      <c r="AM2" s="7">
        <v>4000</v>
      </c>
    </row>
    <row r="3" spans="1:39" x14ac:dyDescent="0.35">
      <c r="A3" s="5" t="s">
        <v>39</v>
      </c>
      <c r="B3" s="2" t="s">
        <v>31</v>
      </c>
      <c r="C3" s="3" t="s">
        <v>51</v>
      </c>
      <c r="D3" s="3" t="s">
        <v>35</v>
      </c>
      <c r="E3" s="3" t="s">
        <v>50</v>
      </c>
      <c r="F3" s="3" t="s">
        <v>41</v>
      </c>
      <c r="G3" s="3" t="s">
        <v>55</v>
      </c>
      <c r="H3" s="3" t="s">
        <v>56</v>
      </c>
      <c r="I3" s="3" t="s">
        <v>46</v>
      </c>
      <c r="J3" s="9">
        <f t="shared" ref="J3:J4" si="0">U3/12</f>
        <v>416.66666666666669</v>
      </c>
      <c r="K3" s="10">
        <f t="shared" ref="K3:K4" si="1">V3/12</f>
        <v>33.333333333333336</v>
      </c>
      <c r="L3" s="10">
        <f t="shared" ref="L3:L4" si="2">W3/12</f>
        <v>0</v>
      </c>
      <c r="M3" s="10">
        <f t="shared" ref="M3:M4" si="3">X3/12</f>
        <v>33.333333333333336</v>
      </c>
      <c r="N3" s="11">
        <f t="shared" ref="N3:N4" si="4">Y3/12</f>
        <v>16.666666666666668</v>
      </c>
      <c r="O3" s="10">
        <f t="shared" ref="O3:O4" si="5">AA3/12</f>
        <v>33.333333333333336</v>
      </c>
      <c r="P3" s="9">
        <f t="shared" ref="P3:P4" si="6">AB3/12</f>
        <v>0</v>
      </c>
      <c r="Q3" s="10">
        <f t="shared" ref="Q3:Q4" si="7">AD3/12</f>
        <v>0</v>
      </c>
      <c r="R3" s="10">
        <f t="shared" ref="R3:R4" si="8">AE3/12</f>
        <v>0</v>
      </c>
      <c r="S3" s="10">
        <f t="shared" ref="S3:S4" si="9">AG3/12</f>
        <v>41.666666666666664</v>
      </c>
      <c r="T3" s="10">
        <f t="shared" ref="T3:T4" si="10">SUM(J3:S3)</f>
        <v>575</v>
      </c>
      <c r="U3" s="7">
        <v>5000</v>
      </c>
      <c r="V3" s="7">
        <v>400</v>
      </c>
      <c r="W3" s="7">
        <v>0</v>
      </c>
      <c r="X3" s="7">
        <v>400</v>
      </c>
      <c r="Y3" s="7">
        <v>200</v>
      </c>
      <c r="Z3" s="7">
        <v>500</v>
      </c>
      <c r="AA3" s="7">
        <v>400</v>
      </c>
      <c r="AB3" s="7">
        <v>0</v>
      </c>
      <c r="AC3" s="7">
        <v>0</v>
      </c>
      <c r="AD3" s="7">
        <v>0</v>
      </c>
      <c r="AE3" s="7">
        <v>0</v>
      </c>
      <c r="AF3" s="7">
        <v>0</v>
      </c>
      <c r="AG3" s="7">
        <v>500</v>
      </c>
      <c r="AH3" s="7">
        <f t="shared" ref="AH3" si="11">SUM(U3:AG3)</f>
        <v>7400</v>
      </c>
      <c r="AI3" s="7">
        <v>300</v>
      </c>
      <c r="AJ3" s="7">
        <v>0</v>
      </c>
      <c r="AK3" s="7">
        <f t="shared" ref="AK3:AK4" si="12">AH3+AI3+AJ3</f>
        <v>7700</v>
      </c>
      <c r="AL3" s="4" t="str">
        <f t="shared" ref="AL3:AL4" si="13">spellindian(AK3)</f>
        <v>Rupees Seven Thousand Seven Hundred  Only</v>
      </c>
      <c r="AM3" s="7">
        <v>5000</v>
      </c>
    </row>
    <row r="4" spans="1:39" x14ac:dyDescent="0.35">
      <c r="A4" s="5" t="s">
        <v>39</v>
      </c>
      <c r="B4" s="2" t="s">
        <v>28</v>
      </c>
      <c r="C4" s="3" t="s">
        <v>52</v>
      </c>
      <c r="D4" s="3" t="s">
        <v>36</v>
      </c>
      <c r="E4" s="3" t="s">
        <v>53</v>
      </c>
      <c r="F4" s="3" t="s">
        <v>41</v>
      </c>
      <c r="G4" s="3" t="s">
        <v>55</v>
      </c>
      <c r="H4" s="3" t="s">
        <v>56</v>
      </c>
      <c r="I4" s="3" t="s">
        <v>47</v>
      </c>
      <c r="J4" s="9">
        <f t="shared" si="0"/>
        <v>416.66666666666669</v>
      </c>
      <c r="K4" s="10">
        <f t="shared" si="1"/>
        <v>16.666666666666668</v>
      </c>
      <c r="L4" s="10">
        <f t="shared" si="2"/>
        <v>0</v>
      </c>
      <c r="M4" s="10">
        <f t="shared" si="3"/>
        <v>416.66666666666669</v>
      </c>
      <c r="N4" s="11">
        <f t="shared" si="4"/>
        <v>6666.666666666667</v>
      </c>
      <c r="O4" s="10">
        <f t="shared" si="5"/>
        <v>0.25</v>
      </c>
      <c r="P4" s="9">
        <f t="shared" si="6"/>
        <v>0</v>
      </c>
      <c r="Q4" s="10">
        <f t="shared" si="7"/>
        <v>0</v>
      </c>
      <c r="R4" s="10">
        <f t="shared" si="8"/>
        <v>0</v>
      </c>
      <c r="S4" s="10">
        <f t="shared" si="9"/>
        <v>25</v>
      </c>
      <c r="T4" s="10">
        <f t="shared" si="10"/>
        <v>7541.916666666667</v>
      </c>
      <c r="U4" s="7">
        <v>5000</v>
      </c>
      <c r="V4" s="7">
        <v>200</v>
      </c>
      <c r="W4" s="7">
        <v>0</v>
      </c>
      <c r="X4" s="7">
        <v>5000</v>
      </c>
      <c r="Y4" s="7">
        <v>80000</v>
      </c>
      <c r="Z4" s="7">
        <v>80000</v>
      </c>
      <c r="AA4" s="7">
        <v>3</v>
      </c>
      <c r="AB4" s="7">
        <v>0</v>
      </c>
      <c r="AC4" s="7">
        <v>0</v>
      </c>
      <c r="AD4" s="7">
        <v>0</v>
      </c>
      <c r="AE4" s="7">
        <v>0</v>
      </c>
      <c r="AF4" s="7">
        <v>0</v>
      </c>
      <c r="AG4" s="7">
        <v>300</v>
      </c>
      <c r="AH4" s="7">
        <v>800</v>
      </c>
      <c r="AI4" s="7">
        <v>400</v>
      </c>
      <c r="AJ4" s="7">
        <v>0</v>
      </c>
      <c r="AK4" s="7">
        <f t="shared" si="12"/>
        <v>1200</v>
      </c>
      <c r="AL4" s="4" t="str">
        <f t="shared" si="13"/>
        <v>Rupees One Thousand Two Hundred  Only</v>
      </c>
      <c r="AM4" s="7">
        <v>100000</v>
      </c>
    </row>
  </sheetData>
  <phoneticPr fontId="4" type="noConversion"/>
  <hyperlinks>
    <hyperlink ref="E2" r:id="rId1" xr:uid="{9E762C2D-6E8A-43F5-9AEE-D216AD018667}"/>
    <hyperlink ref="E3" r:id="rId2" xr:uid="{F9C5DDE1-A44D-47F3-BBB0-FEB9E1477003}"/>
    <hyperlink ref="E4" r:id="rId3" xr:uid="{F1271A1D-C79D-4BF5-958B-A71D5453F4F6}"/>
  </hyperlinks>
  <pageMargins left="0.7" right="0.7" top="0.75" bottom="0.75" header="0.3" footer="0.3"/>
  <pageSetup paperSize="9" orientation="portrait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0844FA7D1911B44BD0F2C16683F4630" ma:contentTypeVersion="9" ma:contentTypeDescription="Create a new document." ma:contentTypeScope="" ma:versionID="dced1826c3439ed0b743caf5f2fd1136">
  <xsd:schema xmlns:xsd="http://www.w3.org/2001/XMLSchema" xmlns:xs="http://www.w3.org/2001/XMLSchema" xmlns:p="http://schemas.microsoft.com/office/2006/metadata/properties" xmlns:ns2="92765da7-cf94-4ec8-b010-c6e478d6dff4" xmlns:ns3="6f0b6f75-40f0-4d96-bfaa-341e261e70b5" targetNamespace="http://schemas.microsoft.com/office/2006/metadata/properties" ma:root="true" ma:fieldsID="f9689e5d0a06f105c6153cfce33d859e" ns2:_="" ns3:_="">
    <xsd:import namespace="92765da7-cf94-4ec8-b010-c6e478d6dff4"/>
    <xsd:import namespace="6f0b6f75-40f0-4d96-bfaa-341e261e70b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765da7-cf94-4ec8-b010-c6e478d6dff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0b6f75-40f0-4d96-bfaa-341e261e70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4A589D-1D2C-46E8-934B-D5B05736ACA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D778FA6-9D88-415D-B473-31F3828047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765da7-cf94-4ec8-b010-c6e478d6dff4"/>
    <ds:schemaRef ds:uri="6f0b6f75-40f0-4d96-bfaa-341e261e70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667F9D-C3D6-4E85-8EDB-CB4C86132E9C}">
  <ds:schemaRefs>
    <ds:schemaRef ds:uri="http://purl.org/dc/terms/"/>
    <ds:schemaRef ds:uri="http://purl.org/dc/dcmitype/"/>
    <ds:schemaRef ds:uri="6f0b6f75-40f0-4d96-bfaa-341e261e70b5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92765da7-cf94-4ec8-b010-c6e478d6dff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Narender Sharma</dc:creator>
  <cp:lastModifiedBy>Girish SA</cp:lastModifiedBy>
  <dcterms:created xsi:type="dcterms:W3CDTF">2022-03-22T15:35:58Z</dcterms:created>
  <dcterms:modified xsi:type="dcterms:W3CDTF">2024-07-02T14:44:23Z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0x01010040844FA7D1911B44BD0F2C16683F4630</vt:lpwstr>
  </property>
</Properties>
</file>